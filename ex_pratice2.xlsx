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4875abaa8e939/Documents/"/>
    </mc:Choice>
  </mc:AlternateContent>
  <xr:revisionPtr revIDLastSave="0" documentId="8_{CEE6AF33-2D05-4902-A025-99BA108CD4B8}" xr6:coauthVersionLast="47" xr6:coauthVersionMax="47" xr10:uidLastSave="{00000000-0000-0000-0000-000000000000}"/>
  <bookViews>
    <workbookView xWindow="-108" yWindow="-108" windowWidth="23256" windowHeight="12456" activeTab="4" xr2:uid="{ED3A5EDA-AB86-463D-860F-8CFD6324EB8F}"/>
  </bookViews>
  <sheets>
    <sheet name="Patient_table" sheetId="4" r:id="rId1"/>
    <sheet name="Patient" sheetId="1" r:id="rId2"/>
    <sheet name="Doctor_table" sheetId="5" r:id="rId3"/>
    <sheet name="Doctor" sheetId="2" r:id="rId4"/>
    <sheet name="Appointments_table" sheetId="6" r:id="rId5"/>
    <sheet name="Appointment" sheetId="3" r:id="rId6"/>
  </sheets>
  <definedNames>
    <definedName name="ExternalData_1" localSheetId="4" hidden="1">Appointments_table!$A$1:$J$11</definedName>
    <definedName name="ExternalData_1" localSheetId="2" hidden="1">Doctor_table!$A$1:$D$11</definedName>
    <definedName name="ExternalData_1" localSheetId="0" hidden="1">Patient_table!$A$1:$H$12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2" i="4"/>
  <c r="I2" i="6"/>
  <c r="I3" i="6"/>
  <c r="I4" i="6"/>
  <c r="I5" i="6"/>
  <c r="I6" i="6"/>
  <c r="I7" i="6"/>
  <c r="I8" i="6"/>
  <c r="I9" i="6"/>
  <c r="I10" i="6"/>
  <c r="I11" i="6"/>
  <c r="H12" i="6"/>
  <c r="G12" i="6"/>
  <c r="F12" i="6"/>
  <c r="I1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039300-ADB3-47AD-AFD9-02924DD0DF2F}" keepAlive="1" name="Query - Appointments_table" description="Connection to the 'Appointments_table' query in the workbook." type="5" refreshedVersion="8" background="1" saveData="1">
    <dbPr connection="Provider=Microsoft.Mashup.OleDb.1;Data Source=$Workbook$;Location=Appointments_table;Extended Properties=&quot;&quot;" command="SELECT * FROM [Appointments_table]"/>
  </connection>
  <connection id="2" xr16:uid="{0624B63C-FA22-46F0-B66A-745803DA0AA0}" keepAlive="1" name="Query - Doctor_table" description="Connection to the 'Doctor_table' query in the workbook." type="5" refreshedVersion="8" background="1" saveData="1">
    <dbPr connection="Provider=Microsoft.Mashup.OleDb.1;Data Source=$Workbook$;Location=Doctor_table;Extended Properties=&quot;&quot;" command="SELECT * FROM [Doctor_table]"/>
  </connection>
  <connection id="3" xr16:uid="{623B8F6D-45D4-4495-B4C1-5D1999241E84}" keepAlive="1" name="Query - Patient_table" description="Connection to the 'Patient_table' query in the workbook." type="5" refreshedVersion="8" background="1" saveData="1">
    <dbPr connection="Provider=Microsoft.Mashup.OleDb.1;Data Source=$Workbook$;Location=Patient_table;Extended Properties=&quot;&quot;" command="SELECT * FROM [Patient_table]"/>
  </connection>
</connections>
</file>

<file path=xl/sharedStrings.xml><?xml version="1.0" encoding="utf-8"?>
<sst xmlns="http://schemas.openxmlformats.org/spreadsheetml/2006/main" count="352" uniqueCount="140">
  <si>
    <t>Patient_ID</t>
  </si>
  <si>
    <t>Patient_Name</t>
  </si>
  <si>
    <t>Age</t>
  </si>
  <si>
    <t>Gender</t>
  </si>
  <si>
    <t>City</t>
  </si>
  <si>
    <t>Insurance_Type</t>
  </si>
  <si>
    <t>Chronic_Condition</t>
  </si>
  <si>
    <t>P001</t>
  </si>
  <si>
    <t xml:space="preserve">  john smith </t>
  </si>
  <si>
    <t>Male</t>
  </si>
  <si>
    <t xml:space="preserve">toronto </t>
  </si>
  <si>
    <t xml:space="preserve">private </t>
  </si>
  <si>
    <t>yes</t>
  </si>
  <si>
    <t>P002</t>
  </si>
  <si>
    <t>MARIA GARCIA</t>
  </si>
  <si>
    <t>female</t>
  </si>
  <si>
    <t>Ottawa</t>
  </si>
  <si>
    <t>Government</t>
  </si>
  <si>
    <t>Yes</t>
  </si>
  <si>
    <t>P003</t>
  </si>
  <si>
    <t>li wei</t>
  </si>
  <si>
    <t xml:space="preserve">MALE </t>
  </si>
  <si>
    <t>vancouver</t>
  </si>
  <si>
    <t xml:space="preserve"> self-pay</t>
  </si>
  <si>
    <t>no</t>
  </si>
  <si>
    <t>P004</t>
  </si>
  <si>
    <t>Aisha Khan</t>
  </si>
  <si>
    <t xml:space="preserve">Female </t>
  </si>
  <si>
    <t>Toronto</t>
  </si>
  <si>
    <t>Private</t>
  </si>
  <si>
    <t>YES</t>
  </si>
  <si>
    <t>P005</t>
  </si>
  <si>
    <t>Robert Brown</t>
  </si>
  <si>
    <t>Calgary</t>
  </si>
  <si>
    <t>government</t>
  </si>
  <si>
    <t>P006</t>
  </si>
  <si>
    <t>Emily Davis</t>
  </si>
  <si>
    <t xml:space="preserve">female </t>
  </si>
  <si>
    <t xml:space="preserve"> ottawa </t>
  </si>
  <si>
    <t xml:space="preserve">Private </t>
  </si>
  <si>
    <t>P007</t>
  </si>
  <si>
    <t>Michael Johnson</t>
  </si>
  <si>
    <t>Vancouver</t>
  </si>
  <si>
    <t>self pay</t>
  </si>
  <si>
    <t>No</t>
  </si>
  <si>
    <t>P008</t>
  </si>
  <si>
    <t>Sophia Wilson</t>
  </si>
  <si>
    <t>Female</t>
  </si>
  <si>
    <t xml:space="preserve"> Toronto</t>
  </si>
  <si>
    <t>P009</t>
  </si>
  <si>
    <t>Daniel Martinez</t>
  </si>
  <si>
    <t>male</t>
  </si>
  <si>
    <t>calgary</t>
  </si>
  <si>
    <t>P010</t>
  </si>
  <si>
    <t>Olivia Anderson</t>
  </si>
  <si>
    <t>FEMALE</t>
  </si>
  <si>
    <t>Self-Pay</t>
  </si>
  <si>
    <t>Doctor_ID</t>
  </si>
  <si>
    <t>Doctor_Name</t>
  </si>
  <si>
    <t>Department</t>
  </si>
  <si>
    <t>Years_Experience</t>
  </si>
  <si>
    <t>D001</t>
  </si>
  <si>
    <t>Dr. Alan Grant</t>
  </si>
  <si>
    <t>Cardiology</t>
  </si>
  <si>
    <t>D002</t>
  </si>
  <si>
    <t>Dr. Priya Mehta</t>
  </si>
  <si>
    <t xml:space="preserve"> Neurology </t>
  </si>
  <si>
    <t>D003</t>
  </si>
  <si>
    <t>Dr. Kevin O'Brien</t>
  </si>
  <si>
    <t>Orthopedics</t>
  </si>
  <si>
    <t>D004</t>
  </si>
  <si>
    <t>Dr. Sarah Lee</t>
  </si>
  <si>
    <t>Oncology</t>
  </si>
  <si>
    <t>D005</t>
  </si>
  <si>
    <t>Dr. David Chen</t>
  </si>
  <si>
    <t>General medicine</t>
  </si>
  <si>
    <t>D006</t>
  </si>
  <si>
    <t>Dr. Laura White</t>
  </si>
  <si>
    <t>D007</t>
  </si>
  <si>
    <t>Dr. Ahmed Khan</t>
  </si>
  <si>
    <t>Neurology</t>
  </si>
  <si>
    <t>D008</t>
  </si>
  <si>
    <t>Dr. Maria Lopez</t>
  </si>
  <si>
    <t>D009</t>
  </si>
  <si>
    <t>Dr. James Patel</t>
  </si>
  <si>
    <t>D010</t>
  </si>
  <si>
    <t>Dr. Emma Thompson</t>
  </si>
  <si>
    <t>General Medicine</t>
  </si>
  <si>
    <t>A001</t>
  </si>
  <si>
    <t>Heart Surgery</t>
  </si>
  <si>
    <t>Paid</t>
  </si>
  <si>
    <t>A002</t>
  </si>
  <si>
    <t>Chemotherapy</t>
  </si>
  <si>
    <t>Insurance Processing</t>
  </si>
  <si>
    <t>A003</t>
  </si>
  <si>
    <t>Knee Replacement</t>
  </si>
  <si>
    <t>paid</t>
  </si>
  <si>
    <t>A004</t>
  </si>
  <si>
    <t>Brain MRI</t>
  </si>
  <si>
    <t>Pending</t>
  </si>
  <si>
    <t>A005</t>
  </si>
  <si>
    <t>General Checkup</t>
  </si>
  <si>
    <t>A006</t>
  </si>
  <si>
    <t>Angioplasty</t>
  </si>
  <si>
    <t xml:space="preserve"> insurance processing</t>
  </si>
  <si>
    <t>A007</t>
  </si>
  <si>
    <t>EEG Test</t>
  </si>
  <si>
    <t>A008</t>
  </si>
  <si>
    <t>Radiation Therapy</t>
  </si>
  <si>
    <t>A009</t>
  </si>
  <si>
    <t>Blood Test</t>
  </si>
  <si>
    <t>A010</t>
  </si>
  <si>
    <t>Fracture Treatment</t>
  </si>
  <si>
    <t>appointment_id</t>
  </si>
  <si>
    <t>patient_id</t>
  </si>
  <si>
    <t>doctor_id</t>
  </si>
  <si>
    <t>appointment_date</t>
  </si>
  <si>
    <t>treatment_type</t>
  </si>
  <si>
    <t>treatment_cost</t>
  </si>
  <si>
    <t>medication_cost</t>
  </si>
  <si>
    <t>room_charges</t>
  </si>
  <si>
    <t>payment_type</t>
  </si>
  <si>
    <t>John Smith</t>
  </si>
  <si>
    <t>Maria Garcia</t>
  </si>
  <si>
    <t>Li Wei</t>
  </si>
  <si>
    <t xml:space="preserve">Male </t>
  </si>
  <si>
    <t>Self Pay</t>
  </si>
  <si>
    <t>Total</t>
  </si>
  <si>
    <t>total_cost</t>
  </si>
  <si>
    <t>Sum</t>
  </si>
  <si>
    <t>Average</t>
  </si>
  <si>
    <t>Running Total</t>
  </si>
  <si>
    <t>Count</t>
  </si>
  <si>
    <t>High_risk</t>
  </si>
  <si>
    <t>Unknown</t>
  </si>
  <si>
    <t>Age_Group</t>
  </si>
  <si>
    <t>31-50</t>
  </si>
  <si>
    <t>51-70</t>
  </si>
  <si>
    <t>18-30</t>
  </si>
  <si>
    <t>70+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</si>
</sst>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10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66" formatCode="[$$-1009]#,##0"/>
    </dxf>
    <dxf>
      <numFmt numFmtId="166" formatCode="[$$-1009]#,##0"/>
    </dxf>
    <dxf>
      <numFmt numFmtId="166" formatCode="[$$-1009]#,##0"/>
    </dxf>
    <dxf>
      <numFmt numFmtId="166" formatCode="[$$-1009]#,##0"/>
    </dxf>
    <dxf>
      <numFmt numFmtId="166" formatCode="[$$-1009]#,##0"/>
    </dxf>
    <dxf>
      <numFmt numFmtId="166" formatCode="[$$-1009]#,##0"/>
    </dxf>
    <dxf>
      <numFmt numFmtId="166" formatCode="[$$-1009]#,##0"/>
    </dxf>
    <dxf>
      <numFmt numFmtId="166" formatCode="[$$-1009]#,##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9CE2DDF-F08F-4CDF-8AC0-B3126C41EAFD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atient_ID" tableColumnId="1"/>
      <queryTableField id="2" name="Patient_Name" tableColumnId="2"/>
      <queryTableField id="3" name="Age" tableColumnId="3"/>
      <queryTableField id="4" name="Gender" tableColumnId="4"/>
      <queryTableField id="5" name="City" tableColumnId="5"/>
      <queryTableField id="6" name="Insurance_Type" tableColumnId="6"/>
      <queryTableField id="7" name="Chronic_Condition" tableColumnId="7"/>
      <queryTableField id="9" name="Age_Group" tableColumnId="9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62E97CF-DB98-4FF1-80B2-0D0C924B147B}" autoFormatId="16" applyNumberFormats="0" applyBorderFormats="0" applyFontFormats="0" applyPatternFormats="0" applyAlignmentFormats="0" applyWidthHeightFormats="0">
  <queryTableRefresh nextId="5">
    <queryTableFields count="4">
      <queryTableField id="1" name="Doctor_ID" tableColumnId="1"/>
      <queryTableField id="2" name="Doctor_Name" tableColumnId="2"/>
      <queryTableField id="3" name="Department" tableColumnId="3"/>
      <queryTableField id="4" name="Years_Experien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4EDFD2-953D-4204-827B-D5FE8327C8B5}" autoFormatId="16" applyNumberFormats="0" applyBorderFormats="0" applyFontFormats="0" applyPatternFormats="0" applyAlignmentFormats="0" applyWidthHeightFormats="0">
  <queryTableRefresh nextId="13">
    <queryTableFields count="10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treatment_type" tableColumnId="5"/>
      <queryTableField id="6" name="treatment_cost" tableColumnId="6"/>
      <queryTableField id="7" name="medication_cost" tableColumnId="7"/>
      <queryTableField id="8" name="room_charges" tableColumnId="8"/>
      <queryTableField id="11" dataBound="0" tableColumnId="12"/>
      <queryTableField id="9" name="payment_typ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1C82D2-0515-4394-BEEE-5F480D1877C4}" name="Patient_table" displayName="Patient_table" ref="A1:I12" tableType="queryTable" totalsRowShown="0">
  <autoFilter ref="A1:I12" xr:uid="{CF1C82D2-0515-4394-BEEE-5F480D1877C4}"/>
  <tableColumns count="9">
    <tableColumn id="1" xr3:uid="{35503AAB-0A87-4CEE-9320-40B8D39EA22E}" uniqueName="1" name="Patient_ID" queryTableFieldId="1" dataDxfId="7"/>
    <tableColumn id="2" xr3:uid="{F4A189EF-C3B0-45CD-9085-13E5BF09DE4C}" uniqueName="2" name="Patient_Name" queryTableFieldId="2" dataDxfId="6"/>
    <tableColumn id="3" xr3:uid="{C51CBF6F-80B0-4EF7-BC5E-1459488DB9ED}" uniqueName="3" name="Age" queryTableFieldId="3" dataDxfId="5"/>
    <tableColumn id="4" xr3:uid="{CB2630F8-A46D-4257-A14A-FFD33D704F75}" uniqueName="4" name="Gender" queryTableFieldId="4" dataDxfId="4"/>
    <tableColumn id="5" xr3:uid="{B7610F0F-1BC6-498A-9E5F-05C357A3EEAD}" uniqueName="5" name="City" queryTableFieldId="5" dataDxfId="3"/>
    <tableColumn id="6" xr3:uid="{B35511E0-8FB6-4B56-AFFD-2E5A33F012C1}" uniqueName="6" name="Insurance_Type" queryTableFieldId="6" dataDxfId="2"/>
    <tableColumn id="7" xr3:uid="{1C402991-AF2F-4FC6-8D18-A943A5A6DE50}" uniqueName="7" name="Chronic_Condition" queryTableFieldId="7" dataDxfId="1"/>
    <tableColumn id="9" xr3:uid="{03C61794-31BA-4276-AF8C-EC123C8B8BB4}" uniqueName="9" name="Age_Group" queryTableFieldId="9"/>
    <tableColumn id="8" xr3:uid="{41FD4D96-D7A5-4802-BF16-0FA53EAD67F8}" uniqueName="8" name="High_risk" queryTableFieldId="8" dataDxfId="0">
      <calculatedColumnFormula>IF( AND(Patient_table[[#This Row],[Age]]&gt;60,Patient_table[[#This Row],[Chronic_Condition]] = "Yes"), "High Risk", "Low Risk")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A831D-3D55-4B84-AB3A-EAB87124D90A}" name="Table1" displayName="Table1" ref="A1:G12" totalsRowShown="0">
  <autoFilter ref="A1:G12" xr:uid="{457A831D-3D55-4B84-AB3A-EAB87124D90A}"/>
  <tableColumns count="7">
    <tableColumn id="1" xr3:uid="{3ED02F10-882F-467A-A600-0597AD4B177E}" name="Patient_ID"/>
    <tableColumn id="2" xr3:uid="{EC0C6FFF-39A8-4604-B4AC-60E657E67953}" name="Patient_Name"/>
    <tableColumn id="3" xr3:uid="{47C9247F-01B7-4A15-AE66-9D5A79A87EC8}" name="Age"/>
    <tableColumn id="4" xr3:uid="{BC4B8B76-BBC9-43F5-8071-06C5B9AAFEB5}" name="Gender"/>
    <tableColumn id="5" xr3:uid="{B4768B19-AF94-4A2D-A35A-234E9E0E1782}" name="City"/>
    <tableColumn id="6" xr3:uid="{64D430BA-DDB0-47A3-A482-2CA02605E7C5}" name="Insurance_Type"/>
    <tableColumn id="7" xr3:uid="{364B91FA-9078-4DC9-B24B-19A0039B5506}" name="Chronic_Cond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2628F4-F6EE-445D-BCE4-F9DFB48A8BAD}" name="Doctor_table" displayName="Doctor_table" ref="A1:D11" tableType="queryTable" totalsRowShown="0">
  <autoFilter ref="A1:D11" xr:uid="{BE2628F4-F6EE-445D-BCE4-F9DFB48A8BAD}"/>
  <tableColumns count="4">
    <tableColumn id="1" xr3:uid="{EEF9BF5D-65EF-4A00-8004-D3E64B6D6FE2}" uniqueName="1" name="Doctor_ID" queryTableFieldId="1" dataDxfId="25"/>
    <tableColumn id="2" xr3:uid="{6D27866E-5DA9-483A-98CE-0F7F7C00830E}" uniqueName="2" name="Doctor_Name" queryTableFieldId="2" dataDxfId="24"/>
    <tableColumn id="3" xr3:uid="{9E112B5F-5CC0-4E11-A4B9-8E8CFB7B2085}" uniqueName="3" name="Department" queryTableFieldId="3" dataDxfId="23"/>
    <tableColumn id="4" xr3:uid="{5CF93437-C5EC-4DDB-8DB6-0BFA04D9F63E}" uniqueName="4" name="Years_Experience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EFD92C-DA75-4EB5-8180-9FE37B0AA9FE}" name="Table3" displayName="Table3" ref="A1:D11" totalsRowShown="0">
  <autoFilter ref="A1:D11" xr:uid="{4AEFD92C-DA75-4EB5-8180-9FE37B0AA9FE}"/>
  <tableColumns count="4">
    <tableColumn id="1" xr3:uid="{BDB3C818-6C27-41EC-ADBE-309F9C6745EB}" name="Doctor_ID"/>
    <tableColumn id="2" xr3:uid="{B3271C8F-E542-4A77-ABAC-964F0EF8250E}" name="Doctor_Name"/>
    <tableColumn id="3" xr3:uid="{D312DF30-11D1-4B26-9F50-AE9ED9F68814}" name="Department"/>
    <tableColumn id="4" xr3:uid="{BBB907AF-36C5-4189-B411-DBE8CD96534C}" name="Years_Experi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2143D4-89CF-4FEA-8D06-3D797AE44DC4}" name="Appointments_table" displayName="Appointments_table" ref="A1:J12" tableType="queryTable" totalsRowCount="1">
  <autoFilter ref="A1:J11" xr:uid="{8B2143D4-89CF-4FEA-8D06-3D797AE44DC4}"/>
  <tableColumns count="10">
    <tableColumn id="1" xr3:uid="{6218FD93-A3C6-4CDE-A55B-4DA2AB35BF3C}" uniqueName="1" name="appointment_id" totalsRowLabel="Total" queryTableFieldId="1" dataDxfId="21"/>
    <tableColumn id="2" xr3:uid="{ABADDF0F-E94E-4B6C-B382-D05870D58798}" uniqueName="2" name="patient_id" queryTableFieldId="2" dataDxfId="20"/>
    <tableColumn id="3" xr3:uid="{6AEC0A18-0F14-4ACB-A103-B3D90B1682F2}" uniqueName="3" name="doctor_id" queryTableFieldId="3" dataDxfId="19"/>
    <tableColumn id="4" xr3:uid="{AFC5E281-9712-41B8-BFFB-677745207709}" uniqueName="4" name="appointment_date" queryTableFieldId="4" dataDxfId="18"/>
    <tableColumn id="5" xr3:uid="{BBBE8E0D-5FEB-4CB7-BCA4-5F236750A4C5}" uniqueName="5" name="treatment_type" queryTableFieldId="5" dataDxfId="17"/>
    <tableColumn id="6" xr3:uid="{613C53D3-107B-41AB-ACC8-1FD474DBAC37}" uniqueName="6" name="treatment_cost" totalsRowFunction="sum" queryTableFieldId="6" dataDxfId="13" totalsRowDxfId="11"/>
    <tableColumn id="7" xr3:uid="{8BB6FD46-ABFE-4659-AB30-24352E059B08}" uniqueName="7" name="medication_cost" totalsRowFunction="sum" queryTableFieldId="7" dataDxfId="14" totalsRowDxfId="10"/>
    <tableColumn id="8" xr3:uid="{225D59A3-C5BE-4B4F-BDFD-711CDF59CD41}" uniqueName="8" name="room_charges" totalsRowFunction="sum" queryTableFieldId="8" dataDxfId="15" totalsRowDxfId="9"/>
    <tableColumn id="12" xr3:uid="{673FFDE9-79B2-4C72-9FBB-CE2658E401C8}" uniqueName="12" name="total_cost" totalsRowFunction="sum" queryTableFieldId="11" dataDxfId="12" totalsRowDxfId="8">
      <calculatedColumnFormula>SUM(Appointments_table[[#This Row],[treatment_cost]:[room_charges]])</calculatedColumnFormula>
    </tableColumn>
    <tableColumn id="9" xr3:uid="{476C70AA-34FF-4702-ACD1-CBA934F3A7AE}" uniqueName="9" name="payment_type" queryTableFieldId="9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6D419D-22D7-4A4C-B36B-E5FBB13CB2A6}" name="Table5" displayName="Table5" ref="A1:I11" totalsRowShown="0">
  <autoFilter ref="A1:I11" xr:uid="{1E6D419D-22D7-4A4C-B36B-E5FBB13CB2A6}"/>
  <tableColumns count="9">
    <tableColumn id="1" xr3:uid="{7773280A-380D-468B-93B9-C8CF88A8FD27}" name="appointment_id"/>
    <tableColumn id="2" xr3:uid="{D690E5C6-1A44-4E02-B371-29F68B817AEC}" name="patient_id"/>
    <tableColumn id="3" xr3:uid="{AACD4E5E-A214-4D23-AB99-D9962ED0AB01}" name="doctor_id"/>
    <tableColumn id="4" xr3:uid="{EF410C36-5F05-42BD-82B6-9F451A7A3CD5}" name="appointment_date" dataDxfId="22"/>
    <tableColumn id="5" xr3:uid="{D61C4985-34BE-45BD-8AF8-6178CF7ED7EE}" name="treatment_type"/>
    <tableColumn id="6" xr3:uid="{BD0536AE-FA00-4FCF-B02E-666914490F81}" name="treatment_cost"/>
    <tableColumn id="7" xr3:uid="{27A30DE6-9414-4A23-8CAE-24987F5780D4}" name="medication_cost"/>
    <tableColumn id="8" xr3:uid="{612F5881-9927-488A-9B61-D583E697F3D8}" name="room_charges"/>
    <tableColumn id="9" xr3:uid="{9597FE41-F167-44DA-913A-CD6BF75FCB0E}" name="paymen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1BDA-AE59-4937-8EA9-2AAEC7A5F1AB}">
  <dimension ref="A1:I12"/>
  <sheetViews>
    <sheetView workbookViewId="0">
      <selection activeCell="L10" sqref="L10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6.44140625" style="3" bestFit="1" customWidth="1"/>
    <col min="4" max="4" width="9.33203125" bestFit="1" customWidth="1"/>
    <col min="5" max="5" width="9.6640625" bestFit="1" customWidth="1"/>
    <col min="6" max="6" width="16.6640625" bestFit="1" customWidth="1"/>
    <col min="7" max="7" width="19" bestFit="1" customWidth="1"/>
    <col min="8" max="8" width="12.6640625" bestFit="1" customWidth="1"/>
    <col min="9" max="9" width="10.88671875" bestFit="1" customWidth="1"/>
  </cols>
  <sheetData>
    <row r="1" spans="1:9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135</v>
      </c>
      <c r="I1" t="s">
        <v>133</v>
      </c>
    </row>
    <row r="2" spans="1:9" x14ac:dyDescent="0.3">
      <c r="A2" s="2" t="s">
        <v>7</v>
      </c>
      <c r="B2" s="2" t="s">
        <v>122</v>
      </c>
      <c r="C2" s="3">
        <v>45</v>
      </c>
      <c r="D2" s="2" t="s">
        <v>9</v>
      </c>
      <c r="E2" s="2" t="s">
        <v>28</v>
      </c>
      <c r="F2" s="2" t="s">
        <v>29</v>
      </c>
      <c r="G2" s="2" t="s">
        <v>18</v>
      </c>
      <c r="H2" t="s">
        <v>136</v>
      </c>
      <c r="I2" s="2" t="str">
        <f>IF( AND(Patient_table[[#This Row],[Age]]&gt;60,Patient_table[[#This Row],[Chronic_Condition]] = "Yes"), "High Risk", "Low Risk")</f>
        <v>Low Risk</v>
      </c>
    </row>
    <row r="3" spans="1:9" x14ac:dyDescent="0.3">
      <c r="A3" s="2" t="s">
        <v>13</v>
      </c>
      <c r="B3" s="2" t="s">
        <v>123</v>
      </c>
      <c r="C3" s="3">
        <v>67</v>
      </c>
      <c r="D3" s="2" t="s">
        <v>47</v>
      </c>
      <c r="E3" s="2" t="s">
        <v>16</v>
      </c>
      <c r="F3" s="2" t="s">
        <v>17</v>
      </c>
      <c r="G3" s="2" t="s">
        <v>18</v>
      </c>
      <c r="H3" t="s">
        <v>137</v>
      </c>
      <c r="I3" s="2" t="str">
        <f>IF( AND(Patient_table[[#This Row],[Age]]&gt;60,Patient_table[[#This Row],[Chronic_Condition]] = "Yes"), "High Risk", "Low Risk")</f>
        <v>High Risk</v>
      </c>
    </row>
    <row r="4" spans="1:9" x14ac:dyDescent="0.3">
      <c r="A4" s="2" t="s">
        <v>19</v>
      </c>
      <c r="B4" s="2" t="s">
        <v>124</v>
      </c>
      <c r="C4" s="3">
        <v>29</v>
      </c>
      <c r="D4" s="2" t="s">
        <v>125</v>
      </c>
      <c r="E4" s="2" t="s">
        <v>42</v>
      </c>
      <c r="F4" s="2" t="s">
        <v>56</v>
      </c>
      <c r="G4" s="2" t="s">
        <v>44</v>
      </c>
      <c r="H4" t="s">
        <v>138</v>
      </c>
      <c r="I4" s="2" t="str">
        <f>IF( AND(Patient_table[[#This Row],[Age]]&gt;60,Patient_table[[#This Row],[Chronic_Condition]] = "Yes"), "High Risk", "Low Risk")</f>
        <v>Low Risk</v>
      </c>
    </row>
    <row r="5" spans="1:9" x14ac:dyDescent="0.3">
      <c r="A5" s="2" t="s">
        <v>25</v>
      </c>
      <c r="B5" s="2" t="s">
        <v>26</v>
      </c>
      <c r="C5" s="3">
        <v>72</v>
      </c>
      <c r="D5" s="2" t="s">
        <v>27</v>
      </c>
      <c r="E5" s="2" t="s">
        <v>28</v>
      </c>
      <c r="F5" s="2" t="s">
        <v>29</v>
      </c>
      <c r="G5" s="2" t="s">
        <v>18</v>
      </c>
      <c r="H5" t="s">
        <v>139</v>
      </c>
      <c r="I5" s="2" t="str">
        <f>IF( AND(Patient_table[[#This Row],[Age]]&gt;60,Patient_table[[#This Row],[Chronic_Condition]] = "Yes"), "High Risk", "Low Risk")</f>
        <v>High Risk</v>
      </c>
    </row>
    <row r="6" spans="1:9" x14ac:dyDescent="0.3">
      <c r="A6" s="2" t="s">
        <v>31</v>
      </c>
      <c r="B6" s="2" t="s">
        <v>32</v>
      </c>
      <c r="D6" s="2" t="s">
        <v>9</v>
      </c>
      <c r="E6" s="2" t="s">
        <v>33</v>
      </c>
      <c r="F6" s="2" t="s">
        <v>17</v>
      </c>
      <c r="G6" s="2" t="s">
        <v>44</v>
      </c>
      <c r="H6" t="s">
        <v>134</v>
      </c>
      <c r="I6" s="2" t="str">
        <f>IF( AND(Patient_table[[#This Row],[Age]]&gt;60,Patient_table[[#This Row],[Chronic_Condition]] = "Yes"), "High Risk", "Low Risk")</f>
        <v>Low Risk</v>
      </c>
    </row>
    <row r="7" spans="1:9" x14ac:dyDescent="0.3">
      <c r="A7" s="2" t="s">
        <v>35</v>
      </c>
      <c r="B7" s="2" t="s">
        <v>36</v>
      </c>
      <c r="C7" s="3">
        <v>54</v>
      </c>
      <c r="D7" s="2" t="s">
        <v>27</v>
      </c>
      <c r="E7" s="2" t="s">
        <v>16</v>
      </c>
      <c r="F7" s="2" t="s">
        <v>29</v>
      </c>
      <c r="G7" s="2" t="s">
        <v>134</v>
      </c>
      <c r="H7" t="s">
        <v>137</v>
      </c>
      <c r="I7" s="2" t="str">
        <f>IF( AND(Patient_table[[#This Row],[Age]]&gt;60,Patient_table[[#This Row],[Chronic_Condition]] = "Yes"), "High Risk", "Low Risk")</f>
        <v>Low Risk</v>
      </c>
    </row>
    <row r="8" spans="1:9" x14ac:dyDescent="0.3">
      <c r="A8" s="2" t="s">
        <v>40</v>
      </c>
      <c r="B8" s="2" t="s">
        <v>41</v>
      </c>
      <c r="C8" s="3">
        <v>38</v>
      </c>
      <c r="D8" s="2" t="s">
        <v>9</v>
      </c>
      <c r="E8" s="2" t="s">
        <v>42</v>
      </c>
      <c r="F8" s="2" t="s">
        <v>126</v>
      </c>
      <c r="G8" s="2" t="s">
        <v>44</v>
      </c>
      <c r="H8" t="s">
        <v>136</v>
      </c>
      <c r="I8" s="2" t="str">
        <f>IF( AND(Patient_table[[#This Row],[Age]]&gt;60,Patient_table[[#This Row],[Chronic_Condition]] = "Yes"), "High Risk", "Low Risk")</f>
        <v>Low Risk</v>
      </c>
    </row>
    <row r="9" spans="1:9" x14ac:dyDescent="0.3">
      <c r="A9" s="2" t="s">
        <v>45</v>
      </c>
      <c r="B9" s="2" t="s">
        <v>46</v>
      </c>
      <c r="C9" s="3">
        <v>81</v>
      </c>
      <c r="D9" s="2" t="s">
        <v>47</v>
      </c>
      <c r="E9" s="2" t="s">
        <v>28</v>
      </c>
      <c r="F9" s="2" t="s">
        <v>17</v>
      </c>
      <c r="G9" s="2" t="s">
        <v>18</v>
      </c>
      <c r="H9" t="s">
        <v>139</v>
      </c>
      <c r="I9" s="2" t="str">
        <f>IF( AND(Patient_table[[#This Row],[Age]]&gt;60,Patient_table[[#This Row],[Chronic_Condition]] = "Yes"), "High Risk", "Low Risk")</f>
        <v>High Risk</v>
      </c>
    </row>
    <row r="10" spans="1:9" x14ac:dyDescent="0.3">
      <c r="A10" s="2" t="s">
        <v>49</v>
      </c>
      <c r="B10" s="2" t="s">
        <v>50</v>
      </c>
      <c r="C10" s="3">
        <v>60</v>
      </c>
      <c r="D10" s="2" t="s">
        <v>9</v>
      </c>
      <c r="E10" s="2" t="s">
        <v>33</v>
      </c>
      <c r="F10" s="2" t="s">
        <v>29</v>
      </c>
      <c r="G10" s="2" t="s">
        <v>18</v>
      </c>
      <c r="H10" t="s">
        <v>137</v>
      </c>
      <c r="I10" s="2" t="str">
        <f>IF( AND(Patient_table[[#This Row],[Age]]&gt;60,Patient_table[[#This Row],[Chronic_Condition]] = "Yes"), "High Risk", "Low Risk")</f>
        <v>Low Risk</v>
      </c>
    </row>
    <row r="11" spans="1:9" x14ac:dyDescent="0.3">
      <c r="A11" s="2" t="s">
        <v>53</v>
      </c>
      <c r="B11" s="2" t="s">
        <v>54</v>
      </c>
      <c r="C11" s="3">
        <v>22</v>
      </c>
      <c r="D11" s="2" t="s">
        <v>47</v>
      </c>
      <c r="E11" s="2" t="s">
        <v>42</v>
      </c>
      <c r="F11" s="2" t="s">
        <v>56</v>
      </c>
      <c r="G11" s="2" t="s">
        <v>44</v>
      </c>
      <c r="H11" t="s">
        <v>138</v>
      </c>
      <c r="I11" s="2" t="str">
        <f>IF( AND(Patient_table[[#This Row],[Age]]&gt;60,Patient_table[[#This Row],[Chronic_Condition]] = "Yes"), "High Risk", "Low Risk")</f>
        <v>Low Risk</v>
      </c>
    </row>
    <row r="12" spans="1:9" x14ac:dyDescent="0.3">
      <c r="A12" s="2" t="s">
        <v>53</v>
      </c>
      <c r="B12" s="2" t="s">
        <v>54</v>
      </c>
      <c r="C12" s="3">
        <v>22</v>
      </c>
      <c r="D12" s="2" t="s">
        <v>47</v>
      </c>
      <c r="E12" s="2" t="s">
        <v>42</v>
      </c>
      <c r="F12" s="2" t="s">
        <v>56</v>
      </c>
      <c r="G12" s="2" t="s">
        <v>44</v>
      </c>
      <c r="H12" t="s">
        <v>138</v>
      </c>
      <c r="I12" s="2" t="str">
        <f>IF( AND(Patient_table[[#This Row],[Age]]&gt;60,Patient_table[[#This Row],[Chronic_Condition]] = "Yes"), "High Risk", "Low Risk")</f>
        <v>Low Risk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A59B-DACE-462D-BA4A-34930AB60C9F}">
  <dimension ref="A1:G12"/>
  <sheetViews>
    <sheetView workbookViewId="0">
      <selection activeCell="F17" sqref="F17"/>
    </sheetView>
  </sheetViews>
  <sheetFormatPr defaultRowHeight="14.4" x14ac:dyDescent="0.3"/>
  <cols>
    <col min="1" max="1" width="11.6640625" customWidth="1"/>
    <col min="2" max="2" width="14.88671875" customWidth="1"/>
    <col min="3" max="3" width="6.109375" customWidth="1"/>
    <col min="4" max="4" width="9" customWidth="1"/>
    <col min="5" max="5" width="9.6640625" bestFit="1" customWidth="1"/>
    <col min="6" max="6" width="16.21875" customWidth="1"/>
    <col min="7" max="7" width="18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45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>
        <v>67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>
        <v>29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>
        <v>72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">
      <c r="A6" t="s">
        <v>31</v>
      </c>
      <c r="B6" t="s">
        <v>32</v>
      </c>
      <c r="D6" t="s">
        <v>9</v>
      </c>
      <c r="E6" t="s">
        <v>33</v>
      </c>
      <c r="F6" t="s">
        <v>34</v>
      </c>
      <c r="G6" t="s">
        <v>24</v>
      </c>
    </row>
    <row r="7" spans="1:7" x14ac:dyDescent="0.3">
      <c r="A7" t="s">
        <v>35</v>
      </c>
      <c r="B7" t="s">
        <v>36</v>
      </c>
      <c r="C7">
        <v>54</v>
      </c>
      <c r="D7" t="s">
        <v>37</v>
      </c>
      <c r="E7" t="s">
        <v>38</v>
      </c>
      <c r="F7" t="s">
        <v>39</v>
      </c>
    </row>
    <row r="8" spans="1:7" x14ac:dyDescent="0.3">
      <c r="A8" t="s">
        <v>40</v>
      </c>
      <c r="B8" t="s">
        <v>41</v>
      </c>
      <c r="C8">
        <v>38</v>
      </c>
      <c r="D8" t="s">
        <v>9</v>
      </c>
      <c r="E8" t="s">
        <v>42</v>
      </c>
      <c r="F8" t="s">
        <v>43</v>
      </c>
      <c r="G8" t="s">
        <v>44</v>
      </c>
    </row>
    <row r="9" spans="1:7" x14ac:dyDescent="0.3">
      <c r="A9" t="s">
        <v>45</v>
      </c>
      <c r="B9" t="s">
        <v>46</v>
      </c>
      <c r="C9">
        <v>81</v>
      </c>
      <c r="D9" t="s">
        <v>47</v>
      </c>
      <c r="E9" t="s">
        <v>48</v>
      </c>
      <c r="F9" t="s">
        <v>17</v>
      </c>
      <c r="G9" t="s">
        <v>18</v>
      </c>
    </row>
    <row r="10" spans="1:7" x14ac:dyDescent="0.3">
      <c r="A10" t="s">
        <v>49</v>
      </c>
      <c r="B10" t="s">
        <v>50</v>
      </c>
      <c r="C10">
        <v>60</v>
      </c>
      <c r="D10" t="s">
        <v>51</v>
      </c>
      <c r="E10" t="s">
        <v>52</v>
      </c>
      <c r="F10" t="s">
        <v>29</v>
      </c>
      <c r="G10" t="s">
        <v>12</v>
      </c>
    </row>
    <row r="11" spans="1:7" x14ac:dyDescent="0.3">
      <c r="A11" t="s">
        <v>53</v>
      </c>
      <c r="B11" t="s">
        <v>54</v>
      </c>
      <c r="C11">
        <v>22</v>
      </c>
      <c r="D11" t="s">
        <v>55</v>
      </c>
      <c r="E11" t="s">
        <v>42</v>
      </c>
      <c r="F11" t="s">
        <v>56</v>
      </c>
      <c r="G11" t="s">
        <v>44</v>
      </c>
    </row>
    <row r="12" spans="1:7" x14ac:dyDescent="0.3">
      <c r="A12" t="s">
        <v>53</v>
      </c>
      <c r="B12" t="s">
        <v>54</v>
      </c>
      <c r="C12">
        <v>22</v>
      </c>
      <c r="D12" t="s">
        <v>55</v>
      </c>
      <c r="E12" t="s">
        <v>42</v>
      </c>
      <c r="F12" t="s">
        <v>56</v>
      </c>
      <c r="G12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C859-283D-4326-ADD8-C196B1073BC1}">
  <dimension ref="A1:D11"/>
  <sheetViews>
    <sheetView workbookViewId="0">
      <selection activeCell="E7" sqref="E7"/>
    </sheetView>
  </sheetViews>
  <sheetFormatPr defaultRowHeight="14.4" x14ac:dyDescent="0.3"/>
  <cols>
    <col min="1" max="1" width="11.6640625" bestFit="1" customWidth="1"/>
    <col min="2" max="2" width="18.21875" bestFit="1" customWidth="1"/>
    <col min="3" max="3" width="15.33203125" bestFit="1" customWidth="1"/>
    <col min="4" max="4" width="17.88671875" bestFit="1" customWidth="1"/>
  </cols>
  <sheetData>
    <row r="1" spans="1:4" x14ac:dyDescent="0.3">
      <c r="A1" t="s">
        <v>57</v>
      </c>
      <c r="B1" t="s">
        <v>58</v>
      </c>
      <c r="C1" t="s">
        <v>59</v>
      </c>
      <c r="D1" t="s">
        <v>60</v>
      </c>
    </row>
    <row r="2" spans="1:4" x14ac:dyDescent="0.3">
      <c r="A2" s="2" t="s">
        <v>61</v>
      </c>
      <c r="B2" s="2" t="s">
        <v>62</v>
      </c>
      <c r="C2" s="2" t="s">
        <v>63</v>
      </c>
      <c r="D2">
        <v>15</v>
      </c>
    </row>
    <row r="3" spans="1:4" x14ac:dyDescent="0.3">
      <c r="A3" s="2" t="s">
        <v>64</v>
      </c>
      <c r="B3" s="2" t="s">
        <v>65</v>
      </c>
      <c r="C3" s="2" t="s">
        <v>80</v>
      </c>
      <c r="D3">
        <v>12</v>
      </c>
    </row>
    <row r="4" spans="1:4" x14ac:dyDescent="0.3">
      <c r="A4" s="2" t="s">
        <v>67</v>
      </c>
      <c r="B4" s="2" t="s">
        <v>68</v>
      </c>
      <c r="C4" s="2" t="s">
        <v>69</v>
      </c>
      <c r="D4">
        <v>8</v>
      </c>
    </row>
    <row r="5" spans="1:4" x14ac:dyDescent="0.3">
      <c r="A5" s="2" t="s">
        <v>70</v>
      </c>
      <c r="B5" s="2" t="s">
        <v>71</v>
      </c>
      <c r="C5" s="2" t="s">
        <v>72</v>
      </c>
      <c r="D5">
        <v>20</v>
      </c>
    </row>
    <row r="6" spans="1:4" x14ac:dyDescent="0.3">
      <c r="A6" s="2" t="s">
        <v>73</v>
      </c>
      <c r="B6" s="2" t="s">
        <v>74</v>
      </c>
      <c r="C6" s="2" t="s">
        <v>75</v>
      </c>
      <c r="D6">
        <v>10</v>
      </c>
    </row>
    <row r="7" spans="1:4" x14ac:dyDescent="0.3">
      <c r="A7" s="2" t="s">
        <v>76</v>
      </c>
      <c r="B7" s="2" t="s">
        <v>77</v>
      </c>
      <c r="C7" s="2" t="s">
        <v>63</v>
      </c>
      <c r="D7">
        <v>18</v>
      </c>
    </row>
    <row r="8" spans="1:4" x14ac:dyDescent="0.3">
      <c r="A8" s="2" t="s">
        <v>78</v>
      </c>
      <c r="B8" s="2" t="s">
        <v>79</v>
      </c>
      <c r="C8" s="2" t="s">
        <v>80</v>
      </c>
      <c r="D8">
        <v>14</v>
      </c>
    </row>
    <row r="9" spans="1:4" x14ac:dyDescent="0.3">
      <c r="A9" s="2" t="s">
        <v>81</v>
      </c>
      <c r="B9" s="2" t="s">
        <v>82</v>
      </c>
      <c r="C9" s="2" t="s">
        <v>69</v>
      </c>
      <c r="D9">
        <v>9</v>
      </c>
    </row>
    <row r="10" spans="1:4" x14ac:dyDescent="0.3">
      <c r="A10" s="2" t="s">
        <v>83</v>
      </c>
      <c r="B10" s="2" t="s">
        <v>84</v>
      </c>
      <c r="C10" s="2" t="s">
        <v>72</v>
      </c>
      <c r="D10">
        <v>16</v>
      </c>
    </row>
    <row r="11" spans="1:4" x14ac:dyDescent="0.3">
      <c r="A11" s="2" t="s">
        <v>85</v>
      </c>
      <c r="B11" s="2" t="s">
        <v>86</v>
      </c>
      <c r="C11" s="2" t="s">
        <v>87</v>
      </c>
      <c r="D11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D28A-FF86-45B9-B98D-39F2F2EE3FE1}">
  <dimension ref="A1:D11"/>
  <sheetViews>
    <sheetView workbookViewId="0">
      <selection sqref="A1:D11"/>
    </sheetView>
  </sheetViews>
  <sheetFormatPr defaultRowHeight="14.4" x14ac:dyDescent="0.3"/>
  <cols>
    <col min="1" max="1" width="11.33203125" customWidth="1"/>
    <col min="2" max="2" width="18.21875" bestFit="1" customWidth="1"/>
    <col min="3" max="3" width="15.33203125" bestFit="1" customWidth="1"/>
    <col min="4" max="4" width="17.44140625" customWidth="1"/>
  </cols>
  <sheetData>
    <row r="1" spans="1:4" x14ac:dyDescent="0.3">
      <c r="A1" t="s">
        <v>57</v>
      </c>
      <c r="B1" t="s">
        <v>58</v>
      </c>
      <c r="C1" t="s">
        <v>59</v>
      </c>
      <c r="D1" t="s">
        <v>60</v>
      </c>
    </row>
    <row r="2" spans="1:4" x14ac:dyDescent="0.3">
      <c r="A2" t="s">
        <v>61</v>
      </c>
      <c r="B2" t="s">
        <v>62</v>
      </c>
      <c r="C2" t="s">
        <v>63</v>
      </c>
      <c r="D2">
        <v>15</v>
      </c>
    </row>
    <row r="3" spans="1:4" x14ac:dyDescent="0.3">
      <c r="A3" t="s">
        <v>64</v>
      </c>
      <c r="B3" t="s">
        <v>65</v>
      </c>
      <c r="C3" t="s">
        <v>66</v>
      </c>
      <c r="D3">
        <v>12</v>
      </c>
    </row>
    <row r="4" spans="1:4" x14ac:dyDescent="0.3">
      <c r="A4" t="s">
        <v>67</v>
      </c>
      <c r="B4" t="s">
        <v>68</v>
      </c>
      <c r="C4" t="s">
        <v>69</v>
      </c>
      <c r="D4">
        <v>8</v>
      </c>
    </row>
    <row r="5" spans="1:4" x14ac:dyDescent="0.3">
      <c r="A5" t="s">
        <v>70</v>
      </c>
      <c r="B5" t="s">
        <v>71</v>
      </c>
      <c r="C5" t="s">
        <v>72</v>
      </c>
      <c r="D5">
        <v>20</v>
      </c>
    </row>
    <row r="6" spans="1:4" x14ac:dyDescent="0.3">
      <c r="A6" t="s">
        <v>73</v>
      </c>
      <c r="B6" t="s">
        <v>74</v>
      </c>
      <c r="C6" t="s">
        <v>75</v>
      </c>
      <c r="D6">
        <v>10</v>
      </c>
    </row>
    <row r="7" spans="1:4" x14ac:dyDescent="0.3">
      <c r="A7" t="s">
        <v>76</v>
      </c>
      <c r="B7" t="s">
        <v>77</v>
      </c>
      <c r="C7" t="s">
        <v>63</v>
      </c>
      <c r="D7">
        <v>18</v>
      </c>
    </row>
    <row r="8" spans="1:4" x14ac:dyDescent="0.3">
      <c r="A8" t="s">
        <v>78</v>
      </c>
      <c r="B8" t="s">
        <v>79</v>
      </c>
      <c r="C8" t="s">
        <v>80</v>
      </c>
      <c r="D8">
        <v>14</v>
      </c>
    </row>
    <row r="9" spans="1:4" x14ac:dyDescent="0.3">
      <c r="A9" t="s">
        <v>81</v>
      </c>
      <c r="B9" t="s">
        <v>82</v>
      </c>
      <c r="C9" t="s">
        <v>69</v>
      </c>
      <c r="D9">
        <v>9</v>
      </c>
    </row>
    <row r="10" spans="1:4" x14ac:dyDescent="0.3">
      <c r="A10" t="s">
        <v>83</v>
      </c>
      <c r="B10" t="s">
        <v>84</v>
      </c>
      <c r="C10" t="s">
        <v>72</v>
      </c>
      <c r="D10">
        <v>16</v>
      </c>
    </row>
    <row r="11" spans="1:4" x14ac:dyDescent="0.3">
      <c r="A11" t="s">
        <v>85</v>
      </c>
      <c r="B11" t="s">
        <v>86</v>
      </c>
      <c r="C11" t="s">
        <v>87</v>
      </c>
      <c r="D11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E892-0E27-4142-87A3-795A8FC4AE20}">
  <dimension ref="A1:J12"/>
  <sheetViews>
    <sheetView tabSelected="1" workbookViewId="0">
      <selection activeCell="H23" sqref="H23"/>
    </sheetView>
  </sheetViews>
  <sheetFormatPr defaultRowHeight="14.4" x14ac:dyDescent="0.3"/>
  <cols>
    <col min="1" max="1" width="16.88671875" bestFit="1" customWidth="1"/>
    <col min="2" max="2" width="11.77734375" bestFit="1" customWidth="1"/>
    <col min="3" max="3" width="11.33203125" bestFit="1" customWidth="1"/>
    <col min="4" max="4" width="19.109375" bestFit="1" customWidth="1"/>
    <col min="5" max="5" width="16.88671875" bestFit="1" customWidth="1"/>
    <col min="6" max="6" width="16.21875" style="4" bestFit="1" customWidth="1"/>
    <col min="7" max="7" width="17.21875" style="4" bestFit="1" customWidth="1"/>
    <col min="8" max="8" width="15.33203125" style="4" bestFit="1" customWidth="1"/>
    <col min="9" max="9" width="11.5546875" bestFit="1" customWidth="1"/>
    <col min="10" max="10" width="18.109375" bestFit="1" customWidth="1"/>
  </cols>
  <sheetData>
    <row r="1" spans="1:10" x14ac:dyDescent="0.3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s="4" t="s">
        <v>118</v>
      </c>
      <c r="G1" s="4" t="s">
        <v>119</v>
      </c>
      <c r="H1" s="4" t="s">
        <v>120</v>
      </c>
      <c r="I1" s="5" t="s">
        <v>128</v>
      </c>
      <c r="J1" t="s">
        <v>121</v>
      </c>
    </row>
    <row r="2" spans="1:10" x14ac:dyDescent="0.3">
      <c r="A2" s="2" t="s">
        <v>88</v>
      </c>
      <c r="B2" s="2" t="s">
        <v>7</v>
      </c>
      <c r="C2" s="2" t="s">
        <v>61</v>
      </c>
      <c r="D2" s="1">
        <v>45303</v>
      </c>
      <c r="E2" s="2" t="s">
        <v>89</v>
      </c>
      <c r="F2" s="4">
        <v>25000</v>
      </c>
      <c r="G2" s="4">
        <v>3000</v>
      </c>
      <c r="H2" s="4">
        <v>5000</v>
      </c>
      <c r="I2" s="5">
        <f>SUM(Appointments_table[[#This Row],[treatment_cost]:[room_charges]])</f>
        <v>33000</v>
      </c>
      <c r="J2" s="2" t="s">
        <v>90</v>
      </c>
    </row>
    <row r="3" spans="1:10" x14ac:dyDescent="0.3">
      <c r="A3" s="2" t="s">
        <v>91</v>
      </c>
      <c r="B3" s="2" t="s">
        <v>13</v>
      </c>
      <c r="C3" s="2" t="s">
        <v>70</v>
      </c>
      <c r="D3" s="1">
        <v>45306</v>
      </c>
      <c r="E3" s="2" t="s">
        <v>92</v>
      </c>
      <c r="F3" s="4">
        <v>15000</v>
      </c>
      <c r="G3" s="4">
        <v>2000</v>
      </c>
      <c r="H3" s="4">
        <v>4000</v>
      </c>
      <c r="I3" s="5">
        <f>SUM(Appointments_table[[#This Row],[treatment_cost]:[room_charges]])</f>
        <v>21000</v>
      </c>
      <c r="J3" s="2" t="s">
        <v>93</v>
      </c>
    </row>
    <row r="4" spans="1:10" x14ac:dyDescent="0.3">
      <c r="A4" s="2" t="s">
        <v>94</v>
      </c>
      <c r="B4" s="2" t="s">
        <v>19</v>
      </c>
      <c r="C4" s="2" t="s">
        <v>67</v>
      </c>
      <c r="D4" s="1">
        <v>45324</v>
      </c>
      <c r="E4" s="2" t="s">
        <v>95</v>
      </c>
      <c r="F4" s="4">
        <v>18000</v>
      </c>
      <c r="G4" s="4">
        <v>1500</v>
      </c>
      <c r="H4" s="4">
        <v>3500</v>
      </c>
      <c r="I4" s="5">
        <f>SUM(Appointments_table[[#This Row],[treatment_cost]:[room_charges]])</f>
        <v>23000</v>
      </c>
      <c r="J4" s="2" t="s">
        <v>90</v>
      </c>
    </row>
    <row r="5" spans="1:10" x14ac:dyDescent="0.3">
      <c r="A5" s="2" t="s">
        <v>97</v>
      </c>
      <c r="B5" s="2" t="s">
        <v>25</v>
      </c>
      <c r="C5" s="2" t="s">
        <v>64</v>
      </c>
      <c r="D5" s="1">
        <v>45334</v>
      </c>
      <c r="E5" s="2" t="s">
        <v>98</v>
      </c>
      <c r="F5" s="4">
        <v>4000</v>
      </c>
      <c r="G5" s="4">
        <v>500</v>
      </c>
      <c r="H5" s="4">
        <v>0</v>
      </c>
      <c r="I5" s="5">
        <f>SUM(Appointments_table[[#This Row],[treatment_cost]:[room_charges]])</f>
        <v>4500</v>
      </c>
      <c r="J5" s="2" t="s">
        <v>99</v>
      </c>
    </row>
    <row r="6" spans="1:10" x14ac:dyDescent="0.3">
      <c r="A6" s="2" t="s">
        <v>100</v>
      </c>
      <c r="B6" s="2" t="s">
        <v>31</v>
      </c>
      <c r="C6" s="2" t="s">
        <v>73</v>
      </c>
      <c r="D6" s="1">
        <v>45361</v>
      </c>
      <c r="E6" s="2" t="s">
        <v>101</v>
      </c>
      <c r="F6" s="4">
        <v>500</v>
      </c>
      <c r="G6" s="4">
        <v>200</v>
      </c>
      <c r="H6" s="4">
        <v>0</v>
      </c>
      <c r="I6" s="5">
        <f>SUM(Appointments_table[[#This Row],[treatment_cost]:[room_charges]])</f>
        <v>700</v>
      </c>
      <c r="J6" s="2" t="s">
        <v>90</v>
      </c>
    </row>
    <row r="7" spans="1:10" x14ac:dyDescent="0.3">
      <c r="A7" s="2" t="s">
        <v>102</v>
      </c>
      <c r="B7" s="2" t="s">
        <v>35</v>
      </c>
      <c r="C7" s="2" t="s">
        <v>76</v>
      </c>
      <c r="D7" s="1">
        <v>45363</v>
      </c>
      <c r="E7" s="2" t="s">
        <v>103</v>
      </c>
      <c r="F7" s="4">
        <v>12000</v>
      </c>
      <c r="G7" s="4">
        <v>1500</v>
      </c>
      <c r="H7" s="4">
        <v>2500</v>
      </c>
      <c r="I7" s="5">
        <f>SUM(Appointments_table[[#This Row],[treatment_cost]:[room_charges]])</f>
        <v>16000</v>
      </c>
      <c r="J7" s="2" t="s">
        <v>93</v>
      </c>
    </row>
    <row r="8" spans="1:10" x14ac:dyDescent="0.3">
      <c r="A8" s="2" t="s">
        <v>105</v>
      </c>
      <c r="B8" s="2" t="s">
        <v>40</v>
      </c>
      <c r="C8" s="2" t="s">
        <v>78</v>
      </c>
      <c r="D8" s="1">
        <v>45383</v>
      </c>
      <c r="E8" s="2" t="s">
        <v>106</v>
      </c>
      <c r="F8" s="4">
        <v>2500</v>
      </c>
      <c r="G8" s="4">
        <v>300</v>
      </c>
      <c r="H8" s="4">
        <v>0</v>
      </c>
      <c r="I8" s="5">
        <f>SUM(Appointments_table[[#This Row],[treatment_cost]:[room_charges]])</f>
        <v>2800</v>
      </c>
      <c r="J8" s="2" t="s">
        <v>99</v>
      </c>
    </row>
    <row r="9" spans="1:10" x14ac:dyDescent="0.3">
      <c r="A9" s="2" t="s">
        <v>107</v>
      </c>
      <c r="B9" s="2" t="s">
        <v>45</v>
      </c>
      <c r="C9" s="2" t="s">
        <v>83</v>
      </c>
      <c r="D9" s="1">
        <v>45392</v>
      </c>
      <c r="E9" s="2" t="s">
        <v>108</v>
      </c>
      <c r="F9" s="4">
        <v>20000</v>
      </c>
      <c r="G9" s="4">
        <v>2500</v>
      </c>
      <c r="H9" s="4">
        <v>4500</v>
      </c>
      <c r="I9" s="5">
        <f>SUM(Appointments_table[[#This Row],[treatment_cost]:[room_charges]])</f>
        <v>27000</v>
      </c>
      <c r="J9" s="2" t="s">
        <v>90</v>
      </c>
    </row>
    <row r="10" spans="1:10" x14ac:dyDescent="0.3">
      <c r="A10" s="2" t="s">
        <v>109</v>
      </c>
      <c r="B10" s="2" t="s">
        <v>49</v>
      </c>
      <c r="C10" s="2" t="s">
        <v>85</v>
      </c>
      <c r="D10" s="1">
        <v>45417</v>
      </c>
      <c r="E10" s="2" t="s">
        <v>110</v>
      </c>
      <c r="F10" s="4">
        <v>300</v>
      </c>
      <c r="G10" s="4">
        <v>100</v>
      </c>
      <c r="H10" s="4">
        <v>0</v>
      </c>
      <c r="I10" s="5">
        <f>SUM(Appointments_table[[#This Row],[treatment_cost]:[room_charges]])</f>
        <v>400</v>
      </c>
      <c r="J10" s="2" t="s">
        <v>90</v>
      </c>
    </row>
    <row r="11" spans="1:10" x14ac:dyDescent="0.3">
      <c r="A11" s="2" t="s">
        <v>111</v>
      </c>
      <c r="B11" s="2" t="s">
        <v>53</v>
      </c>
      <c r="C11" s="2" t="s">
        <v>81</v>
      </c>
      <c r="D11" s="1">
        <v>45424</v>
      </c>
      <c r="E11" s="2" t="s">
        <v>112</v>
      </c>
      <c r="F11" s="4">
        <v>3500</v>
      </c>
      <c r="G11" s="4">
        <v>400</v>
      </c>
      <c r="H11" s="4">
        <v>1500</v>
      </c>
      <c r="I11" s="5">
        <f>SUM(Appointments_table[[#This Row],[treatment_cost]:[room_charges]])</f>
        <v>5400</v>
      </c>
      <c r="J11" s="2" t="s">
        <v>99</v>
      </c>
    </row>
    <row r="12" spans="1:10" x14ac:dyDescent="0.3">
      <c r="A12" t="s">
        <v>127</v>
      </c>
      <c r="F12" s="4">
        <f>SUBTOTAL(109,Appointments_table[treatment_cost])</f>
        <v>100800</v>
      </c>
      <c r="G12" s="4">
        <f>SUBTOTAL(109,Appointments_table[medication_cost])</f>
        <v>12000</v>
      </c>
      <c r="H12" s="4">
        <f>SUBTOTAL(109,Appointments_table[room_charges])</f>
        <v>21000</v>
      </c>
      <c r="I12" s="4">
        <f>SUBTOTAL(109,Appointments_table[total_cost])</f>
        <v>133800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3B23-FCB8-46EE-8DAB-C0E9335F27E4}">
  <dimension ref="A1:I11"/>
  <sheetViews>
    <sheetView workbookViewId="0">
      <selection sqref="A1:I11"/>
    </sheetView>
  </sheetViews>
  <sheetFormatPr defaultRowHeight="14.4" x14ac:dyDescent="0.3"/>
  <cols>
    <col min="1" max="1" width="16.44140625" customWidth="1"/>
    <col min="2" max="2" width="11.44140625" customWidth="1"/>
    <col min="3" max="3" width="11" customWidth="1"/>
    <col min="4" max="4" width="18.6640625" customWidth="1"/>
    <col min="5" max="5" width="16.88671875" bestFit="1" customWidth="1"/>
    <col min="6" max="6" width="15.77734375" customWidth="1"/>
    <col min="7" max="7" width="16.77734375" customWidth="1"/>
    <col min="8" max="8" width="14.88671875" customWidth="1"/>
    <col min="9" max="9" width="18.44140625" bestFit="1" customWidth="1"/>
  </cols>
  <sheetData>
    <row r="1" spans="1:9" x14ac:dyDescent="0.3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</row>
    <row r="2" spans="1:9" x14ac:dyDescent="0.3">
      <c r="A2" t="s">
        <v>88</v>
      </c>
      <c r="B2" t="s">
        <v>7</v>
      </c>
      <c r="C2" t="s">
        <v>61</v>
      </c>
      <c r="D2" s="1">
        <v>45303</v>
      </c>
      <c r="E2" t="s">
        <v>89</v>
      </c>
      <c r="F2">
        <v>25000</v>
      </c>
      <c r="G2">
        <v>3000</v>
      </c>
      <c r="H2">
        <v>5000</v>
      </c>
      <c r="I2" t="s">
        <v>90</v>
      </c>
    </row>
    <row r="3" spans="1:9" x14ac:dyDescent="0.3">
      <c r="A3" t="s">
        <v>91</v>
      </c>
      <c r="B3" t="s">
        <v>13</v>
      </c>
      <c r="C3" t="s">
        <v>70</v>
      </c>
      <c r="D3" s="1">
        <v>45306</v>
      </c>
      <c r="E3" t="s">
        <v>92</v>
      </c>
      <c r="F3">
        <v>15000</v>
      </c>
      <c r="G3">
        <v>2000</v>
      </c>
      <c r="H3">
        <v>4000</v>
      </c>
      <c r="I3" t="s">
        <v>93</v>
      </c>
    </row>
    <row r="4" spans="1:9" x14ac:dyDescent="0.3">
      <c r="A4" t="s">
        <v>94</v>
      </c>
      <c r="B4" t="s">
        <v>19</v>
      </c>
      <c r="C4" t="s">
        <v>67</v>
      </c>
      <c r="D4" s="1">
        <v>45324</v>
      </c>
      <c r="E4" t="s">
        <v>95</v>
      </c>
      <c r="F4">
        <v>18000</v>
      </c>
      <c r="G4">
        <v>1500</v>
      </c>
      <c r="H4">
        <v>3500</v>
      </c>
      <c r="I4" t="s">
        <v>96</v>
      </c>
    </row>
    <row r="5" spans="1:9" x14ac:dyDescent="0.3">
      <c r="A5" t="s">
        <v>97</v>
      </c>
      <c r="B5" t="s">
        <v>25</v>
      </c>
      <c r="C5" t="s">
        <v>64</v>
      </c>
      <c r="D5" s="1">
        <v>45334</v>
      </c>
      <c r="E5" t="s">
        <v>98</v>
      </c>
      <c r="F5">
        <v>4000</v>
      </c>
      <c r="G5">
        <v>500</v>
      </c>
      <c r="H5">
        <v>0</v>
      </c>
      <c r="I5" t="s">
        <v>99</v>
      </c>
    </row>
    <row r="6" spans="1:9" x14ac:dyDescent="0.3">
      <c r="A6" t="s">
        <v>100</v>
      </c>
      <c r="B6" t="s">
        <v>31</v>
      </c>
      <c r="C6" t="s">
        <v>73</v>
      </c>
      <c r="D6" s="1">
        <v>45361</v>
      </c>
      <c r="E6" t="s">
        <v>101</v>
      </c>
      <c r="F6">
        <v>500</v>
      </c>
      <c r="G6">
        <v>200</v>
      </c>
      <c r="H6">
        <v>0</v>
      </c>
      <c r="I6" t="s">
        <v>90</v>
      </c>
    </row>
    <row r="7" spans="1:9" x14ac:dyDescent="0.3">
      <c r="A7" t="s">
        <v>102</v>
      </c>
      <c r="B7" t="s">
        <v>35</v>
      </c>
      <c r="C7" t="s">
        <v>76</v>
      </c>
      <c r="D7" s="1">
        <v>45363</v>
      </c>
      <c r="E7" t="s">
        <v>103</v>
      </c>
      <c r="F7">
        <v>12000</v>
      </c>
      <c r="G7">
        <v>1500</v>
      </c>
      <c r="H7">
        <v>2500</v>
      </c>
      <c r="I7" t="s">
        <v>104</v>
      </c>
    </row>
    <row r="8" spans="1:9" x14ac:dyDescent="0.3">
      <c r="A8" t="s">
        <v>105</v>
      </c>
      <c r="B8" t="s">
        <v>40</v>
      </c>
      <c r="C8" t="s">
        <v>78</v>
      </c>
      <c r="D8" s="1">
        <v>45383</v>
      </c>
      <c r="E8" t="s">
        <v>106</v>
      </c>
      <c r="F8">
        <v>2500</v>
      </c>
      <c r="G8">
        <v>300</v>
      </c>
      <c r="H8">
        <v>0</v>
      </c>
      <c r="I8" t="s">
        <v>99</v>
      </c>
    </row>
    <row r="9" spans="1:9" x14ac:dyDescent="0.3">
      <c r="A9" t="s">
        <v>107</v>
      </c>
      <c r="B9" t="s">
        <v>45</v>
      </c>
      <c r="C9" t="s">
        <v>83</v>
      </c>
      <c r="D9" s="1">
        <v>45392</v>
      </c>
      <c r="E9" t="s">
        <v>108</v>
      </c>
      <c r="F9">
        <v>20000</v>
      </c>
      <c r="G9">
        <v>2500</v>
      </c>
      <c r="H9">
        <v>4500</v>
      </c>
      <c r="I9" t="s">
        <v>90</v>
      </c>
    </row>
    <row r="10" spans="1:9" x14ac:dyDescent="0.3">
      <c r="A10" t="s">
        <v>109</v>
      </c>
      <c r="B10" t="s">
        <v>49</v>
      </c>
      <c r="C10" t="s">
        <v>85</v>
      </c>
      <c r="D10" s="1">
        <v>45417</v>
      </c>
      <c r="E10" t="s">
        <v>110</v>
      </c>
      <c r="F10">
        <v>300</v>
      </c>
      <c r="G10">
        <v>100</v>
      </c>
      <c r="H10">
        <v>0</v>
      </c>
      <c r="I10" t="s">
        <v>90</v>
      </c>
    </row>
    <row r="11" spans="1:9" x14ac:dyDescent="0.3">
      <c r="A11" t="s">
        <v>111</v>
      </c>
      <c r="B11" t="s">
        <v>53</v>
      </c>
      <c r="C11" t="s">
        <v>81</v>
      </c>
      <c r="D11" s="1">
        <v>45424</v>
      </c>
      <c r="E11" t="s">
        <v>112</v>
      </c>
      <c r="F11">
        <v>3500</v>
      </c>
      <c r="G11">
        <v>400</v>
      </c>
      <c r="H11">
        <v>1500</v>
      </c>
      <c r="I11" t="s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39529-F27E-4AE9-A4A1-ABBD8305F5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Patient_table</vt:lpstr>
      <vt:lpstr>Patient</vt:lpstr>
      <vt:lpstr>Doctor_table</vt:lpstr>
      <vt:lpstr>Doctor</vt:lpstr>
      <vt:lpstr>Appointments_table</vt:lpstr>
      <vt:lpstr>Appointment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Madhav</dc:creator>
  <cp:lastModifiedBy>Akshata Madhav</cp:lastModifiedBy>
  <dcterms:created xsi:type="dcterms:W3CDTF">2026-02-25T18:56:24Z</dcterms:created>
  <dcterms:modified xsi:type="dcterms:W3CDTF">2026-02-25T19:47:27Z</dcterms:modified>
</cp:coreProperties>
</file>